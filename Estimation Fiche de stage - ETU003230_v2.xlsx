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sz val="10"/>
    </font>
    <font>
      <name val="Arial"/>
      <sz val="10"/>
    </font>
    <font>
      <name val="Arial"/>
      <color rgb="FF0000FF"/>
      <sz val="10"/>
    </font>
  </fonts>
  <fills count="5">
    <fill>
      <patternFill/>
    </fill>
    <fill>
      <patternFill patternType="gray125"/>
    </fill>
    <fill>
      <patternFill patternType="solid">
        <fgColor rgb="FF6AA84F"/>
      </patternFill>
    </fill>
    <fill>
      <patternFill patternType="solid">
        <fgColor rgb="FFEFEFEF"/>
      </patternFill>
    </fill>
    <fill>
      <patternFill patternType="solid">
        <fgColor rgb="FFD9EAD3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horizontal="right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4" borderId="0" applyAlignment="1" pivotButton="0" quotePrefix="0" xfId="0">
      <alignment vertical="center" wrapText="1"/>
    </xf>
    <xf numFmtId="164" fontId="2" fillId="4" borderId="0" applyAlignment="1" pivotButton="0" quotePrefix="0" xfId="0">
      <alignment horizontal="right" vertical="center" wrapText="1"/>
    </xf>
    <xf numFmtId="0" fontId="1" fillId="2" borderId="0" applyAlignment="1" pivotButton="0" quotePrefix="0" xfId="0">
      <alignment vertical="center" wrapText="1"/>
    </xf>
    <xf numFmtId="164" fontId="1" fillId="2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horizontal="right" vertical="center" wrapText="1"/>
    </xf>
    <xf numFmtId="164" fontId="2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Elia</author>
  </authors>
  <commentList>
    <comment ref="C70" authorId="0" shapeId="0">
      <text>
        <t>Donnée du stage : 66 jours ouvrables (cahier des charges, section 10).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2" customWidth="1" min="2" max="2"/>
    <col width="14" customWidth="1" min="3" max="3"/>
  </cols>
  <sheetData>
    <row r="1">
      <c r="A1" s="1" t="inlineStr">
        <is>
          <t>Sprint</t>
        </is>
      </c>
      <c r="B1" s="2" t="inlineStr">
        <is>
          <t>Tâches</t>
        </is>
      </c>
      <c r="C1" s="1" t="inlineStr">
        <is>
          <t>Estimation (jours)</t>
        </is>
      </c>
    </row>
    <row r="3">
      <c r="B3" s="3" t="inlineStr">
        <is>
          <t>ANALYSE ET CONCEPTION</t>
        </is>
      </c>
    </row>
    <row r="4">
      <c r="A4" s="4" t="inlineStr">
        <is>
          <t>SPRINT I</t>
        </is>
      </c>
      <c r="B4" s="5" t="inlineStr">
        <is>
          <t>Étude du projet et recueil des besoins avec l'encadreur</t>
        </is>
      </c>
      <c r="C4" s="6" t="n">
        <v>2</v>
      </c>
    </row>
    <row r="5">
      <c r="A5" s="7" t="n"/>
      <c r="B5" s="5" t="inlineStr">
        <is>
          <t>Prise en main des technologies (React, React Native, Node.js, MySQL)</t>
        </is>
      </c>
      <c r="C5" s="6" t="n">
        <v>2.5</v>
      </c>
    </row>
    <row r="6">
      <c r="A6" s="7" t="n"/>
      <c r="B6" s="5" t="inlineStr">
        <is>
          <t>Installation des environnements (web, mobile, API, base de données)</t>
        </is>
      </c>
      <c r="C6" s="6" t="n">
        <v>1</v>
      </c>
    </row>
    <row r="7">
      <c r="A7" s="8" t="n"/>
      <c r="B7" s="5" t="inlineStr">
        <is>
          <t>Modélisation MERISE (MCD, MLD) et création de la base de données</t>
        </is>
      </c>
      <c r="C7" s="6" t="n">
        <v>2</v>
      </c>
    </row>
    <row r="8">
      <c r="B8" s="9" t="inlineStr">
        <is>
          <t>SOUS TOTAL</t>
        </is>
      </c>
      <c r="C8" s="10">
        <f>SUM(C4:C7)</f>
        <v/>
      </c>
    </row>
    <row r="10">
      <c r="B10" s="3" t="inlineStr">
        <is>
          <t>API BACKEND, SÉCURITÉ ET GESTION DE BASE</t>
        </is>
      </c>
    </row>
    <row r="11">
      <c r="A11" s="4" t="inlineStr">
        <is>
          <t>SPRINT II</t>
        </is>
      </c>
      <c r="B11" s="5" t="inlineStr">
        <is>
          <t>Architecture de l'API en couches (routes, services, modèles) et gestion des erreurs</t>
        </is>
      </c>
      <c r="C11" s="6" t="n">
        <v>1</v>
      </c>
    </row>
    <row r="12">
      <c r="A12" s="7" t="n"/>
      <c r="B12" s="5" t="inlineStr">
        <is>
          <t>Connexion par token JWT, sessions révocables et déconnexion</t>
        </is>
      </c>
      <c r="C12" s="6" t="n">
        <v>1</v>
      </c>
    </row>
    <row r="13">
      <c r="A13" s="7" t="n"/>
      <c r="B13" s="5" t="inlineStr">
        <is>
          <t>Service d'envoi d'e-mails (Nodemailer) et mot de passe oublié (code à usage unique)</t>
        </is>
      </c>
      <c r="C13" s="6" t="n">
        <v>1</v>
      </c>
    </row>
    <row r="14">
      <c r="A14" s="7" t="n"/>
      <c r="B14" s="5" t="inlineStr">
        <is>
          <t>Rôles et droits d'accès (Super Admin, Accueil, Formateur, Étudiant) : rôle et propriétaire vérifiés</t>
        </is>
      </c>
      <c r="C14" s="6" t="n">
        <v>1</v>
      </c>
    </row>
    <row r="15">
      <c r="A15" s="7" t="n"/>
      <c r="B15" s="5" t="inlineStr">
        <is>
          <t>Gestion des comptes utilisateurs du personnel</t>
        </is>
      </c>
      <c r="C15" s="6" t="n">
        <v>0.5</v>
      </c>
    </row>
    <row r="16">
      <c r="A16" s="7" t="n"/>
      <c r="B16" s="5" t="inlineStr">
        <is>
          <t>CRUD étudiants avec pièces justificatives (photos, CIN, certificat de résidence)</t>
        </is>
      </c>
      <c r="C16" s="6" t="n">
        <v>1.5</v>
      </c>
    </row>
    <row r="17">
      <c r="A17" s="7" t="n"/>
      <c r="B17" s="5" t="inlineStr">
        <is>
          <t>CRUD formations (affectation du formateur, tarif, durée, image de couverture)</t>
        </is>
      </c>
      <c r="C17" s="6" t="n">
        <v>1</v>
      </c>
    </row>
    <row r="18">
      <c r="A18" s="7" t="n"/>
      <c r="B18" s="5" t="inlineStr">
        <is>
          <t>Inscriptions et génération automatique de l'échéancier (transaction)</t>
        </is>
      </c>
      <c r="C18" s="6" t="n">
        <v>1.5</v>
      </c>
    </row>
    <row r="19">
      <c r="A19" s="7" t="n"/>
      <c r="B19" s="5" t="inlineStr">
        <is>
          <t>Limitation des tentatives de connexion (protection contre la force brute)</t>
        </is>
      </c>
      <c r="C19" s="6" t="n">
        <v>0.5</v>
      </c>
    </row>
    <row r="20">
      <c r="A20" s="8" t="n"/>
      <c r="B20" s="5" t="inlineStr">
        <is>
          <t>Tests de l'API (Postman) et premiers tests automatisés</t>
        </is>
      </c>
      <c r="C20" s="6" t="n">
        <v>1.5</v>
      </c>
    </row>
    <row r="21">
      <c r="B21" s="9" t="inlineStr">
        <is>
          <t>SOUS TOTAL</t>
        </is>
      </c>
      <c r="C21" s="10">
        <f>SUM(C11:C20)</f>
        <v/>
      </c>
    </row>
    <row r="23">
      <c r="B23" s="3" t="inlineStr">
        <is>
          <t>PAIEMENTS, DOCUMENTS PDF ET SUIVI</t>
        </is>
      </c>
    </row>
    <row r="24">
      <c r="A24" s="4" t="inlineStr">
        <is>
          <t>SPRINT III</t>
        </is>
      </c>
      <c r="B24" s="5" t="inlineStr">
        <is>
          <t>Paiements au guichet (en une fois ou par tranches, paiement partiel plafonné)</t>
        </is>
      </c>
      <c r="C24" s="6" t="n">
        <v>1</v>
      </c>
    </row>
    <row r="25">
      <c r="A25" s="7" t="n"/>
      <c r="B25" s="5" t="inlineStr">
        <is>
          <t>Paiement depuis le mobile en attente + validation / refus par l'Accueil</t>
        </is>
      </c>
      <c r="C25" s="6" t="n">
        <v>1.5</v>
      </c>
    </row>
    <row r="26">
      <c r="A26" s="7" t="n"/>
      <c r="B26" s="5" t="inlineStr">
        <is>
          <t>Suivi des échéances (Vert / Jaune / Rouge), alerte J-2 à l'Accueil et bouton « Rappeler »</t>
        </is>
      </c>
      <c r="C26" s="6" t="n">
        <v>1.5</v>
      </c>
    </row>
    <row r="27">
      <c r="A27" s="7" t="n"/>
      <c r="B27" s="5" t="inlineStr">
        <is>
          <t>Moteur PDF : fiche d'inscription</t>
        </is>
      </c>
      <c r="C27" s="6" t="n">
        <v>1</v>
      </c>
    </row>
    <row r="28">
      <c r="A28" s="7" t="n"/>
      <c r="B28" s="5" t="inlineStr">
        <is>
          <t>Moteur PDF : facture (paiement validé) et envoi par e-mail</t>
        </is>
      </c>
      <c r="C28" s="6" t="n">
        <v>1</v>
      </c>
    </row>
    <row r="29">
      <c r="A29" s="7" t="n"/>
      <c r="B29" s="5" t="inlineStr">
        <is>
          <t>Moteur PDF : attestation avec QR code + page publique de vérification</t>
        </is>
      </c>
      <c r="C29" s="6" t="n">
        <v>2</v>
      </c>
    </row>
    <row r="30">
      <c r="A30" s="7" t="n"/>
      <c r="B30" s="5" t="inlineStr">
        <is>
          <t>Présence automatique, note d'attestation /20 et classement des étudiants</t>
        </is>
      </c>
      <c r="C30" s="6" t="n">
        <v>2</v>
      </c>
    </row>
    <row r="31">
      <c r="A31" s="7" t="n"/>
      <c r="B31" s="5" t="inlineStr">
        <is>
          <t>Filtres avancés, recherche multi-mots et pagination côté serveur</t>
        </is>
      </c>
      <c r="C31" s="6" t="n">
        <v>1.5</v>
      </c>
    </row>
    <row r="32">
      <c r="A32" s="7" t="n"/>
      <c r="B32" s="5" t="inlineStr">
        <is>
          <t>Export des données au format CSV</t>
        </is>
      </c>
      <c r="C32" s="6" t="n">
        <v>0.5</v>
      </c>
    </row>
    <row r="33">
      <c r="A33" s="8" t="n"/>
      <c r="B33" s="5" t="inlineStr">
        <is>
          <t>Tests fonctionnels web et vérification des PDF générés</t>
        </is>
      </c>
      <c r="C33" s="6" t="n">
        <v>1.5</v>
      </c>
    </row>
    <row r="34">
      <c r="B34" s="9" t="inlineStr">
        <is>
          <t>SOUS TOTAL</t>
        </is>
      </c>
      <c r="C34" s="10">
        <f>SUM(C24:C33)</f>
        <v/>
      </c>
    </row>
    <row r="36">
      <c r="B36" s="3" t="inlineStr">
        <is>
          <t>ESPACE FORMATEUR ET APPLICATION MOBILE ÉTUDIANT</t>
        </is>
      </c>
    </row>
    <row r="37">
      <c r="A37" s="4" t="inlineStr">
        <is>
          <t>SPRINT IV</t>
        </is>
      </c>
      <c r="B37" s="5" t="inlineStr">
        <is>
          <t>Mise en place du mobile (Expo), connexion et stockage local du token</t>
        </is>
      </c>
      <c r="C37" s="6" t="n">
        <v>1</v>
      </c>
    </row>
    <row r="38">
      <c r="A38" s="7" t="n"/>
      <c r="B38" s="5" t="inlineStr">
        <is>
          <t>Accueil mobile (résumé des paiements), formations suivies et historique</t>
        </is>
      </c>
      <c r="C38" s="6" t="n">
        <v>1</v>
      </c>
    </row>
    <row r="39">
      <c r="A39" s="7" t="n"/>
      <c r="B39" s="5" t="inlineStr">
        <is>
          <t>Espace formateur web (ses formations, ses étudiants, classement, note de présentation)</t>
        </is>
      </c>
      <c r="C39" s="6" t="n">
        <v>1</v>
      </c>
    </row>
    <row r="40">
      <c r="A40" s="7" t="n"/>
      <c r="B40" s="5" t="inlineStr">
        <is>
          <t>Supports de cours : texte mis en forme, PDF, image, audio, vidéo, liens</t>
        </is>
      </c>
      <c r="C40" s="6" t="n">
        <v>1.5</v>
      </c>
    </row>
    <row r="41">
      <c r="A41" s="7" t="n"/>
      <c r="B41" s="5" t="inlineStr">
        <is>
          <t>Envoi programmé des supports (annonce 1 h avant, publication automatique)</t>
        </is>
      </c>
      <c r="C41" s="6" t="n">
        <v>1</v>
      </c>
    </row>
    <row r="42">
      <c r="A42" s="7" t="n"/>
      <c r="B42" s="5" t="inlineStr">
        <is>
          <t>Commentaires en fil de discussion avec mentions d'étudiants</t>
        </is>
      </c>
      <c r="C42" s="6" t="n">
        <v>1.5</v>
      </c>
    </row>
    <row r="43">
      <c r="A43" s="7" t="n"/>
      <c r="B43" s="5" t="inlineStr">
        <is>
          <t>Réactions sur les supports (J'aime, J'adore, Utile, Je n'aime pas) et avis sur les formateurs</t>
        </is>
      </c>
      <c r="C43" s="6" t="n">
        <v>1</v>
      </c>
    </row>
    <row r="44">
      <c r="A44" s="7" t="n"/>
      <c r="B44" s="5" t="inlineStr">
        <is>
          <t>Consultation sécurisée des documents (accès contrôlé, filigrane, lecteur mobile, captures bloquées)</t>
        </is>
      </c>
      <c r="C44" s="6" t="n">
        <v>2</v>
      </c>
    </row>
    <row r="45">
      <c r="A45" s="7" t="n"/>
      <c r="B45" s="5" t="inlineStr">
        <is>
          <t>Notifications in-app et assistance administrative (étudiant → Accueil)</t>
        </is>
      </c>
      <c r="C45" s="6" t="n">
        <v>1</v>
      </c>
    </row>
    <row r="46">
      <c r="A46" s="7" t="n"/>
      <c r="B46" s="5" t="inlineStr">
        <is>
          <t>Paiement des échéances et réception des documents (facture, attestation) sur mobile</t>
        </is>
      </c>
      <c r="C46" s="6" t="n">
        <v>1</v>
      </c>
    </row>
    <row r="47">
      <c r="A47" s="8" t="n"/>
      <c r="B47" s="5" t="inlineStr">
        <is>
          <t>Intégration de l'API mobile et tests sur téléphone</t>
        </is>
      </c>
      <c r="C47" s="6" t="n">
        <v>1</v>
      </c>
    </row>
    <row r="48">
      <c r="B48" s="9" t="inlineStr">
        <is>
          <t>SOUS TOTAL</t>
        </is>
      </c>
      <c r="C48" s="10">
        <f>SUM(C37:C47)</f>
        <v/>
      </c>
    </row>
    <row r="50">
      <c r="B50" s="3" t="inlineStr">
        <is>
          <t>VITRINE, TABLEAU DE BORD ET FINITIONS</t>
        </is>
      </c>
    </row>
    <row r="51">
      <c r="A51" s="4" t="inlineStr">
        <is>
          <t>SPRINT V</t>
        </is>
      </c>
      <c r="B51" s="5" t="inlineStr">
        <is>
          <t>Vitrine publique « Découvrir » et inscription en ligne à une ou plusieurs formations</t>
        </is>
      </c>
      <c r="C51" s="6" t="n">
        <v>2</v>
      </c>
    </row>
    <row r="52">
      <c r="A52" s="7" t="n"/>
      <c r="B52" s="5" t="inlineStr">
        <is>
          <t>Tableau de bord : indicateurs clés (KPI) et graphiques (jour / semaine / mois / année)</t>
        </is>
      </c>
      <c r="C52" s="6" t="n">
        <v>2</v>
      </c>
    </row>
    <row r="53">
      <c r="A53" s="7" t="n"/>
      <c r="B53" s="5" t="inlineStr">
        <is>
          <t>Recherche globale (Ctrl+K sur le web, loupe sur le mobile)</t>
        </is>
      </c>
      <c r="C53" s="6" t="n">
        <v>1</v>
      </c>
    </row>
    <row r="54">
      <c r="A54" s="7" t="n"/>
      <c r="B54" s="5" t="inlineStr">
        <is>
          <t>Apparence : thème clair / sombre, couleur principale, taille du texte</t>
        </is>
      </c>
      <c r="C54" s="6" t="n">
        <v>1</v>
      </c>
    </row>
    <row r="55">
      <c r="A55" s="7" t="n"/>
      <c r="B55" s="5" t="inlineStr">
        <is>
          <t>Optimisation des requêtes SQL et des performances de l'API</t>
        </is>
      </c>
      <c r="C55" s="6" t="n">
        <v>1</v>
      </c>
    </row>
    <row r="56">
      <c r="A56" s="7" t="n"/>
      <c r="B56" s="5" t="inlineStr">
        <is>
          <t>Responsive web et mobile (adaptation aux tailles d'écran)</t>
        </is>
      </c>
      <c r="C56" s="6" t="n">
        <v>1</v>
      </c>
    </row>
    <row r="57">
      <c r="A57" s="8" t="n"/>
      <c r="B57" s="5" t="inlineStr">
        <is>
          <t>Tests croisés de bout en bout (web / mobile / API) et corrections de bugs</t>
        </is>
      </c>
      <c r="C57" s="6" t="n">
        <v>2</v>
      </c>
    </row>
    <row r="58">
      <c r="B58" s="9" t="inlineStr">
        <is>
          <t>SOUS TOTAL</t>
        </is>
      </c>
      <c r="C58" s="10">
        <f>SUM(C51:C57)</f>
        <v/>
      </c>
    </row>
    <row r="60">
      <c r="B60" s="3" t="inlineStr">
        <is>
          <t>QUALITÉ, LIVRAISON ET GESTION DE PROJET</t>
        </is>
      </c>
    </row>
    <row r="61">
      <c r="A61" s="4" t="inlineStr">
        <is>
          <t>SPRINT VI</t>
        </is>
      </c>
      <c r="B61" s="5" t="inlineStr">
        <is>
          <t>Audit de sécurité et du code, corrections des failles et des bugs</t>
        </is>
      </c>
      <c r="C61" s="6" t="n">
        <v>2</v>
      </c>
    </row>
    <row r="62">
      <c r="A62" s="7" t="n"/>
      <c r="B62" s="5" t="inlineStr">
        <is>
          <t>Génération de l'APK et préparation des données de démonstration</t>
        </is>
      </c>
      <c r="C62" s="6" t="n">
        <v>1</v>
      </c>
    </row>
    <row r="63">
      <c r="A63" s="7" t="n"/>
      <c r="B63" s="5" t="inlineStr">
        <is>
          <t>Documentation technique (architecture, flux, routes de l'API, scénarios de test)</t>
        </is>
      </c>
      <c r="C63" s="6" t="n">
        <v>2</v>
      </c>
    </row>
    <row r="64">
      <c r="A64" s="7" t="n"/>
      <c r="B64" s="5" t="inlineStr">
        <is>
          <t>Suivi du projet et réunions d'avancement avec l'encadreur</t>
        </is>
      </c>
      <c r="C64" s="6" t="n">
        <v>3</v>
      </c>
    </row>
    <row r="65">
      <c r="A65" s="7" t="n"/>
      <c r="B65" s="5" t="inlineStr">
        <is>
          <t>Recette avec l'encadreur et formation des utilisateurs</t>
        </is>
      </c>
      <c r="C65" s="6" t="n">
        <v>1.5</v>
      </c>
    </row>
    <row r="66">
      <c r="A66" s="8" t="n"/>
      <c r="B66" s="5" t="inlineStr">
        <is>
          <t>Marge pour les corrections de dernière minute</t>
        </is>
      </c>
      <c r="C66" s="6" t="n">
        <v>2</v>
      </c>
    </row>
    <row r="67">
      <c r="B67" s="9" t="inlineStr">
        <is>
          <t>SOUS TOTAL</t>
        </is>
      </c>
      <c r="C67" s="10">
        <f>SUM(C61:C66)</f>
        <v/>
      </c>
    </row>
    <row r="69">
      <c r="B69" s="11" t="inlineStr">
        <is>
          <t>SOMME TOTAL</t>
        </is>
      </c>
      <c r="C69" s="12">
        <f>SUM(C8,C21,C34,C48,C58,C67)</f>
        <v/>
      </c>
    </row>
    <row r="70">
      <c r="B70" s="13" t="inlineStr">
        <is>
          <t>Durée du stage (jours ouvrables, du 25/08/2026 au 24/11/2026)</t>
        </is>
      </c>
      <c r="C70" s="14" t="n">
        <v>66</v>
      </c>
    </row>
    <row r="71">
      <c r="B71" s="3" t="inlineStr">
        <is>
          <t>Écart (doit être égal à 0)</t>
        </is>
      </c>
      <c r="C71" s="15">
        <f>C70-C69</f>
        <v/>
      </c>
    </row>
  </sheetData>
  <mergeCells count="6">
    <mergeCell ref="A4:A7"/>
    <mergeCell ref="A61:A66"/>
    <mergeCell ref="A24:A33"/>
    <mergeCell ref="A37:A47"/>
    <mergeCell ref="A51:A57"/>
    <mergeCell ref="A11:A20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2026-10-13T18:59:50Z</dcterms:created>
  <dcterms:modified xmlns:dcterms="http://purl.org/dc/terms/" xmlns:xsi="http://www.w3.org/2001/XMLSchema-instance" xsi:type="dcterms:W3CDTF">2026-10-13T18:59:50Z</dcterms:modified>
</cp:coreProperties>
</file>